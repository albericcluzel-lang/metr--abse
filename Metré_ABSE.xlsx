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isie" state="visible" r:id="rId4"/>
    <sheet sheetId="2" name="Résultats" state="visible" r:id="rId5"/>
  </sheets>
  <calcPr calcId="171027"/>
</workbook>
</file>

<file path=xl/sharedStrings.xml><?xml version="1.0" encoding="utf-8"?>
<sst xmlns="http://schemas.openxmlformats.org/spreadsheetml/2006/main" count="36" uniqueCount="28">
  <si>
    <t>Type d'ouvrage</t>
  </si>
  <si>
    <t>Surface (m²)</t>
  </si>
  <si>
    <t>Hauteur (m)</t>
  </si>
  <si>
    <t>Longueur</t>
  </si>
  <si>
    <t>Plaques</t>
  </si>
  <si>
    <t>Isolant</t>
  </si>
  <si>
    <t>Rails H</t>
  </si>
  <si>
    <t>Lisses H</t>
  </si>
  <si>
    <t>Montants V</t>
  </si>
  <si>
    <t>Fourrures V</t>
  </si>
  <si>
    <t>Fourrures P</t>
  </si>
  <si>
    <t>Appuis</t>
  </si>
  <si>
    <t>Suspentes</t>
  </si>
  <si>
    <t>RÉCAPITULATIF DES MATÉRIAUX — ABSE</t>
  </si>
  <si>
    <t>Quantités calculées avec +5% de chutes inclus</t>
  </si>
  <si>
    <t>Matériau</t>
  </si>
  <si>
    <t>Quantité (+5%)</t>
  </si>
  <si>
    <t>Unité</t>
  </si>
  <si>
    <t>Plaques de plâtre</t>
  </si>
  <si>
    <t>m²</t>
  </si>
  <si>
    <t>Rails horizontaux</t>
  </si>
  <si>
    <t>ml</t>
  </si>
  <si>
    <t>Lisses horizontales</t>
  </si>
  <si>
    <t>Montants verticaux</t>
  </si>
  <si>
    <t>Fourrures verticales</t>
  </si>
  <si>
    <t>Fourrures plafond</t>
  </si>
  <si>
    <t>Appuis Optima</t>
  </si>
  <si>
    <t>unités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</si>
</sst>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984E3"/>
      <sz val="16"/>
      <name val="Arial"/>
    </font>
    <font>
      <i/>
      <color rgb="FF636E72"/>
      <sz val="10"/>
      <name val="Arial"/>
    </font>
    <font>
      <b/>
      <color rgb="FF0984E3"/>
      <sz val="12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D3436"/>
      </patternFill>
    </fill>
    <fill>
      <patternFill patternType="solid">
        <fgColor rgb="FFF5F6FA"/>
      </patternFill>
    </fill>
    <fill>
      <patternFill patternType="solid">
        <fgColor rgb="FFFFFFFF"/>
      </patternFill>
    </fill>
    <fill>
      <patternFill patternType="solid">
        <fgColor rgb="FFDFE6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left" vertical="center" indent="1"/>
    </xf>
    <xf numFmtId="2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6" customWidth="1"/>
    <col min="4" max="13" width="14" hidden="1" customWidth="1"/>
  </cols>
  <sheetData>
    <row r="1" ht="35" customHeight="1" spans="1:13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/>
      <c r="B2" s="3"/>
      <c r="C2" s="3"/>
      <c r="D2" s="4">
        <f>IF(OR(A2="Cloison",A2="Cloison Double Peau",A2="Doublage Optima"),IF(AND(C2&lt;&gt;"",C2&gt;0),B2/C2,0),0)</f>
      </c>
      <c r="E2" s="4">
        <f>IF(A2="Cloison",B2*2,IF(A2="Cloison Double Peau",B2*4,IF(OR(A2="Doublage Optima",A2="Plafond F530"),B2,0)))</f>
      </c>
      <c r="F2" s="4">
        <f>IF(OR(A2="Cloison",A2="Cloison Double Peau",A2="Doublage Optima",A2="Plafond F530"),B2,0)</f>
      </c>
      <c r="G2" s="4">
        <f>IF(OR(A2="Cloison",A2="Cloison Double Peau"),D2*2,0)</f>
      </c>
      <c r="H2" s="4">
        <f>IF(A2="Doublage Optima",D2*2,0)</f>
      </c>
      <c r="I2" s="4">
        <f>IF(OR(A2="Cloison",A2="Cloison Double Peau"),(ROUNDUP(D2/0.6,0)+1)*C2,0)</f>
      </c>
      <c r="J2" s="4">
        <f>IF(A2="Doublage Optima",(ROUNDUP(D2/0.6,0)+1)*C2,0)</f>
      </c>
      <c r="K2" s="4">
        <f>IF(A2="Plafond F530",B2*3,0)</f>
      </c>
      <c r="L2" s="4">
        <f>IF(A2="Doublage Optima",B2*1.5,0)</f>
      </c>
      <c r="M2" s="4">
        <f>IF(A2="Plafond F530",B2*1.8,0)</f>
      </c>
    </row>
    <row r="3" spans="1:13" x14ac:dyDescent="0.25">
      <c r="A3" s="5"/>
      <c r="B3" s="6"/>
      <c r="C3" s="6"/>
      <c r="D3" s="4">
        <f>IF(OR(A3="Cloison",A3="Cloison Double Peau",A3="Doublage Optima"),IF(AND(C3&lt;&gt;"",C3&gt;0),B3/C3,0),0)</f>
      </c>
      <c r="E3" s="4">
        <f>IF(A3="Cloison",B3*2,IF(A3="Cloison Double Peau",B3*4,IF(OR(A3="Doublage Optima",A3="Plafond F530"),B3,0)))</f>
      </c>
      <c r="F3" s="4">
        <f>IF(OR(A3="Cloison",A3="Cloison Double Peau",A3="Doublage Optima",A3="Plafond F530"),B3,0)</f>
      </c>
      <c r="G3" s="4">
        <f>IF(OR(A3="Cloison",A3="Cloison Double Peau"),D3*2,0)</f>
      </c>
      <c r="H3" s="4">
        <f>IF(A3="Doublage Optima",D3*2,0)</f>
      </c>
      <c r="I3" s="4">
        <f>IF(OR(A3="Cloison",A3="Cloison Double Peau"),(ROUNDUP(D3/0.6,0)+1)*C3,0)</f>
      </c>
      <c r="J3" s="4">
        <f>IF(A3="Doublage Optima",(ROUNDUP(D3/0.6,0)+1)*C3,0)</f>
      </c>
      <c r="K3" s="4">
        <f>IF(A3="Plafond F530",B3*3,0)</f>
      </c>
      <c r="L3" s="4">
        <f>IF(A3="Doublage Optima",B3*1.5,0)</f>
      </c>
      <c r="M3" s="4">
        <f>IF(A3="Plafond F530",B3*1.8,0)</f>
      </c>
    </row>
    <row r="4" spans="1:13" x14ac:dyDescent="0.25">
      <c r="A4" s="2"/>
      <c r="B4" s="3"/>
      <c r="C4" s="3"/>
      <c r="D4" s="4">
        <f>IF(OR(A4="Cloison",A4="Cloison Double Peau",A4="Doublage Optima"),IF(AND(C4&lt;&gt;"",C4&gt;0),B4/C4,0),0)</f>
      </c>
      <c r="E4" s="4">
        <f>IF(A4="Cloison",B4*2,IF(A4="Cloison Double Peau",B4*4,IF(OR(A4="Doublage Optima",A4="Plafond F530"),B4,0)))</f>
      </c>
      <c r="F4" s="4">
        <f>IF(OR(A4="Cloison",A4="Cloison Double Peau",A4="Doublage Optima",A4="Plafond F530"),B4,0)</f>
      </c>
      <c r="G4" s="4">
        <f>IF(OR(A4="Cloison",A4="Cloison Double Peau"),D4*2,0)</f>
      </c>
      <c r="H4" s="4">
        <f>IF(A4="Doublage Optima",D4*2,0)</f>
      </c>
      <c r="I4" s="4">
        <f>IF(OR(A4="Cloison",A4="Cloison Double Peau"),(ROUNDUP(D4/0.6,0)+1)*C4,0)</f>
      </c>
      <c r="J4" s="4">
        <f>IF(A4="Doublage Optima",(ROUNDUP(D4/0.6,0)+1)*C4,0)</f>
      </c>
      <c r="K4" s="4">
        <f>IF(A4="Plafond F530",B4*3,0)</f>
      </c>
      <c r="L4" s="4">
        <f>IF(A4="Doublage Optima",B4*1.5,0)</f>
      </c>
      <c r="M4" s="4">
        <f>IF(A4="Plafond F530",B4*1.8,0)</f>
      </c>
    </row>
    <row r="5" spans="1:13" x14ac:dyDescent="0.25">
      <c r="A5" s="5"/>
      <c r="B5" s="6"/>
      <c r="C5" s="6"/>
      <c r="D5" s="4">
        <f>IF(OR(A5="Cloison",A5="Cloison Double Peau",A5="Doublage Optima"),IF(AND(C5&lt;&gt;"",C5&gt;0),B5/C5,0),0)</f>
      </c>
      <c r="E5" s="4">
        <f>IF(A5="Cloison",B5*2,IF(A5="Cloison Double Peau",B5*4,IF(OR(A5="Doublage Optima",A5="Plafond F530"),B5,0)))</f>
      </c>
      <c r="F5" s="4">
        <f>IF(OR(A5="Cloison",A5="Cloison Double Peau",A5="Doublage Optima",A5="Plafond F530"),B5,0)</f>
      </c>
      <c r="G5" s="4">
        <f>IF(OR(A5="Cloison",A5="Cloison Double Peau"),D5*2,0)</f>
      </c>
      <c r="H5" s="4">
        <f>IF(A5="Doublage Optima",D5*2,0)</f>
      </c>
      <c r="I5" s="4">
        <f>IF(OR(A5="Cloison",A5="Cloison Double Peau"),(ROUNDUP(D5/0.6,0)+1)*C5,0)</f>
      </c>
      <c r="J5" s="4">
        <f>IF(A5="Doublage Optima",(ROUNDUP(D5/0.6,0)+1)*C5,0)</f>
      </c>
      <c r="K5" s="4">
        <f>IF(A5="Plafond F530",B5*3,0)</f>
      </c>
      <c r="L5" s="4">
        <f>IF(A5="Doublage Optima",B5*1.5,0)</f>
      </c>
      <c r="M5" s="4">
        <f>IF(A5="Plafond F530",B5*1.8,0)</f>
      </c>
    </row>
    <row r="6" spans="1:13" x14ac:dyDescent="0.25">
      <c r="A6" s="2"/>
      <c r="B6" s="3"/>
      <c r="C6" s="3"/>
      <c r="D6" s="4">
        <f>IF(OR(A6="Cloison",A6="Cloison Double Peau",A6="Doublage Optima"),IF(AND(C6&lt;&gt;"",C6&gt;0),B6/C6,0),0)</f>
      </c>
      <c r="E6" s="4">
        <f>IF(A6="Cloison",B6*2,IF(A6="Cloison Double Peau",B6*4,IF(OR(A6="Doublage Optima",A6="Plafond F530"),B6,0)))</f>
      </c>
      <c r="F6" s="4">
        <f>IF(OR(A6="Cloison",A6="Cloison Double Peau",A6="Doublage Optima",A6="Plafond F530"),B6,0)</f>
      </c>
      <c r="G6" s="4">
        <f>IF(OR(A6="Cloison",A6="Cloison Double Peau"),D6*2,0)</f>
      </c>
      <c r="H6" s="4">
        <f>IF(A6="Doublage Optima",D6*2,0)</f>
      </c>
      <c r="I6" s="4">
        <f>IF(OR(A6="Cloison",A6="Cloison Double Peau"),(ROUNDUP(D6/0.6,0)+1)*C6,0)</f>
      </c>
      <c r="J6" s="4">
        <f>IF(A6="Doublage Optima",(ROUNDUP(D6/0.6,0)+1)*C6,0)</f>
      </c>
      <c r="K6" s="4">
        <f>IF(A6="Plafond F530",B6*3,0)</f>
      </c>
      <c r="L6" s="4">
        <f>IF(A6="Doublage Optima",B6*1.5,0)</f>
      </c>
      <c r="M6" s="4">
        <f>IF(A6="Plafond F530",B6*1.8,0)</f>
      </c>
    </row>
    <row r="7" spans="1:13" x14ac:dyDescent="0.25">
      <c r="A7" s="5"/>
      <c r="B7" s="6"/>
      <c r="C7" s="6"/>
      <c r="D7" s="4">
        <f>IF(OR(A7="Cloison",A7="Cloison Double Peau",A7="Doublage Optima"),IF(AND(C7&lt;&gt;"",C7&gt;0),B7/C7,0),0)</f>
      </c>
      <c r="E7" s="4">
        <f>IF(A7="Cloison",B7*2,IF(A7="Cloison Double Peau",B7*4,IF(OR(A7="Doublage Optima",A7="Plafond F530"),B7,0)))</f>
      </c>
      <c r="F7" s="4">
        <f>IF(OR(A7="Cloison",A7="Cloison Double Peau",A7="Doublage Optima",A7="Plafond F530"),B7,0)</f>
      </c>
      <c r="G7" s="4">
        <f>IF(OR(A7="Cloison",A7="Cloison Double Peau"),D7*2,0)</f>
      </c>
      <c r="H7" s="4">
        <f>IF(A7="Doublage Optima",D7*2,0)</f>
      </c>
      <c r="I7" s="4">
        <f>IF(OR(A7="Cloison",A7="Cloison Double Peau"),(ROUNDUP(D7/0.6,0)+1)*C7,0)</f>
      </c>
      <c r="J7" s="4">
        <f>IF(A7="Doublage Optima",(ROUNDUP(D7/0.6,0)+1)*C7,0)</f>
      </c>
      <c r="K7" s="4">
        <f>IF(A7="Plafond F530",B7*3,0)</f>
      </c>
      <c r="L7" s="4">
        <f>IF(A7="Doublage Optima",B7*1.5,0)</f>
      </c>
      <c r="M7" s="4">
        <f>IF(A7="Plafond F530",B7*1.8,0)</f>
      </c>
    </row>
    <row r="8" spans="1:13" x14ac:dyDescent="0.25">
      <c r="A8" s="2"/>
      <c r="B8" s="3"/>
      <c r="C8" s="3"/>
      <c r="D8" s="4">
        <f>IF(OR(A8="Cloison",A8="Cloison Double Peau",A8="Doublage Optima"),IF(AND(C8&lt;&gt;"",C8&gt;0),B8/C8,0),0)</f>
      </c>
      <c r="E8" s="4">
        <f>IF(A8="Cloison",B8*2,IF(A8="Cloison Double Peau",B8*4,IF(OR(A8="Doublage Optima",A8="Plafond F530"),B8,0)))</f>
      </c>
      <c r="F8" s="4">
        <f>IF(OR(A8="Cloison",A8="Cloison Double Peau",A8="Doublage Optima",A8="Plafond F530"),B8,0)</f>
      </c>
      <c r="G8" s="4">
        <f>IF(OR(A8="Cloison",A8="Cloison Double Peau"),D8*2,0)</f>
      </c>
      <c r="H8" s="4">
        <f>IF(A8="Doublage Optima",D8*2,0)</f>
      </c>
      <c r="I8" s="4">
        <f>IF(OR(A8="Cloison",A8="Cloison Double Peau"),(ROUNDUP(D8/0.6,0)+1)*C8,0)</f>
      </c>
      <c r="J8" s="4">
        <f>IF(A8="Doublage Optima",(ROUNDUP(D8/0.6,0)+1)*C8,0)</f>
      </c>
      <c r="K8" s="4">
        <f>IF(A8="Plafond F530",B8*3,0)</f>
      </c>
      <c r="L8" s="4">
        <f>IF(A8="Doublage Optima",B8*1.5,0)</f>
      </c>
      <c r="M8" s="4">
        <f>IF(A8="Plafond F530",B8*1.8,0)</f>
      </c>
    </row>
    <row r="9" spans="1:13" x14ac:dyDescent="0.25">
      <c r="A9" s="5"/>
      <c r="B9" s="6"/>
      <c r="C9" s="6"/>
      <c r="D9" s="4">
        <f>IF(OR(A9="Cloison",A9="Cloison Double Peau",A9="Doublage Optima"),IF(AND(C9&lt;&gt;"",C9&gt;0),B9/C9,0),0)</f>
      </c>
      <c r="E9" s="4">
        <f>IF(A9="Cloison",B9*2,IF(A9="Cloison Double Peau",B9*4,IF(OR(A9="Doublage Optima",A9="Plafond F530"),B9,0)))</f>
      </c>
      <c r="F9" s="4">
        <f>IF(OR(A9="Cloison",A9="Cloison Double Peau",A9="Doublage Optima",A9="Plafond F530"),B9,0)</f>
      </c>
      <c r="G9" s="4">
        <f>IF(OR(A9="Cloison",A9="Cloison Double Peau"),D9*2,0)</f>
      </c>
      <c r="H9" s="4">
        <f>IF(A9="Doublage Optima",D9*2,0)</f>
      </c>
      <c r="I9" s="4">
        <f>IF(OR(A9="Cloison",A9="Cloison Double Peau"),(ROUNDUP(D9/0.6,0)+1)*C9,0)</f>
      </c>
      <c r="J9" s="4">
        <f>IF(A9="Doublage Optima",(ROUNDUP(D9/0.6,0)+1)*C9,0)</f>
      </c>
      <c r="K9" s="4">
        <f>IF(A9="Plafond F530",B9*3,0)</f>
      </c>
      <c r="L9" s="4">
        <f>IF(A9="Doublage Optima",B9*1.5,0)</f>
      </c>
      <c r="M9" s="4">
        <f>IF(A9="Plafond F530",B9*1.8,0)</f>
      </c>
    </row>
    <row r="10" spans="1:13" x14ac:dyDescent="0.25">
      <c r="A10" s="2"/>
      <c r="B10" s="3"/>
      <c r="C10" s="3"/>
      <c r="D10" s="4">
        <f>IF(OR(A10="Cloison",A10="Cloison Double Peau",A10="Doublage Optima"),IF(AND(C10&lt;&gt;"",C10&gt;0),B10/C10,0),0)</f>
      </c>
      <c r="E10" s="4">
        <f>IF(A10="Cloison",B10*2,IF(A10="Cloison Double Peau",B10*4,IF(OR(A10="Doublage Optima",A10="Plafond F530"),B10,0)))</f>
      </c>
      <c r="F10" s="4">
        <f>IF(OR(A10="Cloison",A10="Cloison Double Peau",A10="Doublage Optima",A10="Plafond F530"),B10,0)</f>
      </c>
      <c r="G10" s="4">
        <f>IF(OR(A10="Cloison",A10="Cloison Double Peau"),D10*2,0)</f>
      </c>
      <c r="H10" s="4">
        <f>IF(A10="Doublage Optima",D10*2,0)</f>
      </c>
      <c r="I10" s="4">
        <f>IF(OR(A10="Cloison",A10="Cloison Double Peau"),(ROUNDUP(D10/0.6,0)+1)*C10,0)</f>
      </c>
      <c r="J10" s="4">
        <f>IF(A10="Doublage Optima",(ROUNDUP(D10/0.6,0)+1)*C10,0)</f>
      </c>
      <c r="K10" s="4">
        <f>IF(A10="Plafond F530",B10*3,0)</f>
      </c>
      <c r="L10" s="4">
        <f>IF(A10="Doublage Optima",B10*1.5,0)</f>
      </c>
      <c r="M10" s="4">
        <f>IF(A10="Plafond F530",B10*1.8,0)</f>
      </c>
    </row>
    <row r="11" spans="1:13" x14ac:dyDescent="0.25">
      <c r="A11" s="5"/>
      <c r="B11" s="6"/>
      <c r="C11" s="6"/>
      <c r="D11" s="4">
        <f>IF(OR(A11="Cloison",A11="Cloison Double Peau",A11="Doublage Optima"),IF(AND(C11&lt;&gt;"",C11&gt;0),B11/C11,0),0)</f>
      </c>
      <c r="E11" s="4">
        <f>IF(A11="Cloison",B11*2,IF(A11="Cloison Double Peau",B11*4,IF(OR(A11="Doublage Optima",A11="Plafond F530"),B11,0)))</f>
      </c>
      <c r="F11" s="4">
        <f>IF(OR(A11="Cloison",A11="Cloison Double Peau",A11="Doublage Optima",A11="Plafond F530"),B11,0)</f>
      </c>
      <c r="G11" s="4">
        <f>IF(OR(A11="Cloison",A11="Cloison Double Peau"),D11*2,0)</f>
      </c>
      <c r="H11" s="4">
        <f>IF(A11="Doublage Optima",D11*2,0)</f>
      </c>
      <c r="I11" s="4">
        <f>IF(OR(A11="Cloison",A11="Cloison Double Peau"),(ROUNDUP(D11/0.6,0)+1)*C11,0)</f>
      </c>
      <c r="J11" s="4">
        <f>IF(A11="Doublage Optima",(ROUNDUP(D11/0.6,0)+1)*C11,0)</f>
      </c>
      <c r="K11" s="4">
        <f>IF(A11="Plafond F530",B11*3,0)</f>
      </c>
      <c r="L11" s="4">
        <f>IF(A11="Doublage Optima",B11*1.5,0)</f>
      </c>
      <c r="M11" s="4">
        <f>IF(A11="Plafond F530",B11*1.8,0)</f>
      </c>
    </row>
    <row r="12" spans="1:13" x14ac:dyDescent="0.25">
      <c r="A12" s="2"/>
      <c r="B12" s="3"/>
      <c r="C12" s="3"/>
      <c r="D12" s="4">
        <f>IF(OR(A12="Cloison",A12="Cloison Double Peau",A12="Doublage Optima"),IF(AND(C12&lt;&gt;"",C12&gt;0),B12/C12,0),0)</f>
      </c>
      <c r="E12" s="4">
        <f>IF(A12="Cloison",B12*2,IF(A12="Cloison Double Peau",B12*4,IF(OR(A12="Doublage Optima",A12="Plafond F530"),B12,0)))</f>
      </c>
      <c r="F12" s="4">
        <f>IF(OR(A12="Cloison",A12="Cloison Double Peau",A12="Doublage Optima",A12="Plafond F530"),B12,0)</f>
      </c>
      <c r="G12" s="4">
        <f>IF(OR(A12="Cloison",A12="Cloison Double Peau"),D12*2,0)</f>
      </c>
      <c r="H12" s="4">
        <f>IF(A12="Doublage Optima",D12*2,0)</f>
      </c>
      <c r="I12" s="4">
        <f>IF(OR(A12="Cloison",A12="Cloison Double Peau"),(ROUNDUP(D12/0.6,0)+1)*C12,0)</f>
      </c>
      <c r="J12" s="4">
        <f>IF(A12="Doublage Optima",(ROUNDUP(D12/0.6,0)+1)*C12,0)</f>
      </c>
      <c r="K12" s="4">
        <f>IF(A12="Plafond F530",B12*3,0)</f>
      </c>
      <c r="L12" s="4">
        <f>IF(A12="Doublage Optima",B12*1.5,0)</f>
      </c>
      <c r="M12" s="4">
        <f>IF(A12="Plafond F530",B12*1.8,0)</f>
      </c>
    </row>
    <row r="13" spans="1:13" x14ac:dyDescent="0.25">
      <c r="A13" s="5"/>
      <c r="B13" s="6"/>
      <c r="C13" s="6"/>
      <c r="D13" s="4">
        <f>IF(OR(A13="Cloison",A13="Cloison Double Peau",A13="Doublage Optima"),IF(AND(C13&lt;&gt;"",C13&gt;0),B13/C13,0),0)</f>
      </c>
      <c r="E13" s="4">
        <f>IF(A13="Cloison",B13*2,IF(A13="Cloison Double Peau",B13*4,IF(OR(A13="Doublage Optima",A13="Plafond F530"),B13,0)))</f>
      </c>
      <c r="F13" s="4">
        <f>IF(OR(A13="Cloison",A13="Cloison Double Peau",A13="Doublage Optima",A13="Plafond F530"),B13,0)</f>
      </c>
      <c r="G13" s="4">
        <f>IF(OR(A13="Cloison",A13="Cloison Double Peau"),D13*2,0)</f>
      </c>
      <c r="H13" s="4">
        <f>IF(A13="Doublage Optima",D13*2,0)</f>
      </c>
      <c r="I13" s="4">
        <f>IF(OR(A13="Cloison",A13="Cloison Double Peau"),(ROUNDUP(D13/0.6,0)+1)*C13,0)</f>
      </c>
      <c r="J13" s="4">
        <f>IF(A13="Doublage Optima",(ROUNDUP(D13/0.6,0)+1)*C13,0)</f>
      </c>
      <c r="K13" s="4">
        <f>IF(A13="Plafond F530",B13*3,0)</f>
      </c>
      <c r="L13" s="4">
        <f>IF(A13="Doublage Optima",B13*1.5,0)</f>
      </c>
      <c r="M13" s="4">
        <f>IF(A13="Plafond F530",B13*1.8,0)</f>
      </c>
    </row>
    <row r="14" spans="1:13" x14ac:dyDescent="0.25">
      <c r="A14" s="2"/>
      <c r="B14" s="3"/>
      <c r="C14" s="3"/>
      <c r="D14" s="4">
        <f>IF(OR(A14="Cloison",A14="Cloison Double Peau",A14="Doublage Optima"),IF(AND(C14&lt;&gt;"",C14&gt;0),B14/C14,0),0)</f>
      </c>
      <c r="E14" s="4">
        <f>IF(A14="Cloison",B14*2,IF(A14="Cloison Double Peau",B14*4,IF(OR(A14="Doublage Optima",A14="Plafond F530"),B14,0)))</f>
      </c>
      <c r="F14" s="4">
        <f>IF(OR(A14="Cloison",A14="Cloison Double Peau",A14="Doublage Optima",A14="Plafond F530"),B14,0)</f>
      </c>
      <c r="G14" s="4">
        <f>IF(OR(A14="Cloison",A14="Cloison Double Peau"),D14*2,0)</f>
      </c>
      <c r="H14" s="4">
        <f>IF(A14="Doublage Optima",D14*2,0)</f>
      </c>
      <c r="I14" s="4">
        <f>IF(OR(A14="Cloison",A14="Cloison Double Peau"),(ROUNDUP(D14/0.6,0)+1)*C14,0)</f>
      </c>
      <c r="J14" s="4">
        <f>IF(A14="Doublage Optima",(ROUNDUP(D14/0.6,0)+1)*C14,0)</f>
      </c>
      <c r="K14" s="4">
        <f>IF(A14="Plafond F530",B14*3,0)</f>
      </c>
      <c r="L14" s="4">
        <f>IF(A14="Doublage Optima",B14*1.5,0)</f>
      </c>
      <c r="M14" s="4">
        <f>IF(A14="Plafond F530",B14*1.8,0)</f>
      </c>
    </row>
    <row r="15" spans="1:13" x14ac:dyDescent="0.25">
      <c r="A15" s="5"/>
      <c r="B15" s="6"/>
      <c r="C15" s="6"/>
      <c r="D15" s="4">
        <f>IF(OR(A15="Cloison",A15="Cloison Double Peau",A15="Doublage Optima"),IF(AND(C15&lt;&gt;"",C15&gt;0),B15/C15,0),0)</f>
      </c>
      <c r="E15" s="4">
        <f>IF(A15="Cloison",B15*2,IF(A15="Cloison Double Peau",B15*4,IF(OR(A15="Doublage Optima",A15="Plafond F530"),B15,0)))</f>
      </c>
      <c r="F15" s="4">
        <f>IF(OR(A15="Cloison",A15="Cloison Double Peau",A15="Doublage Optima",A15="Plafond F530"),B15,0)</f>
      </c>
      <c r="G15" s="4">
        <f>IF(OR(A15="Cloison",A15="Cloison Double Peau"),D15*2,0)</f>
      </c>
      <c r="H15" s="4">
        <f>IF(A15="Doublage Optima",D15*2,0)</f>
      </c>
      <c r="I15" s="4">
        <f>IF(OR(A15="Cloison",A15="Cloison Double Peau"),(ROUNDUP(D15/0.6,0)+1)*C15,0)</f>
      </c>
      <c r="J15" s="4">
        <f>IF(A15="Doublage Optima",(ROUNDUP(D15/0.6,0)+1)*C15,0)</f>
      </c>
      <c r="K15" s="4">
        <f>IF(A15="Plafond F530",B15*3,0)</f>
      </c>
      <c r="L15" s="4">
        <f>IF(A15="Doublage Optima",B15*1.5,0)</f>
      </c>
      <c r="M15" s="4">
        <f>IF(A15="Plafond F530",B15*1.8,0)</f>
      </c>
    </row>
    <row r="16" spans="1:13" x14ac:dyDescent="0.25">
      <c r="A16" s="2"/>
      <c r="B16" s="3"/>
      <c r="C16" s="3"/>
      <c r="D16" s="4">
        <f>IF(OR(A16="Cloison",A16="Cloison Double Peau",A16="Doublage Optima"),IF(AND(C16&lt;&gt;"",C16&gt;0),B16/C16,0),0)</f>
      </c>
      <c r="E16" s="4">
        <f>IF(A16="Cloison",B16*2,IF(A16="Cloison Double Peau",B16*4,IF(OR(A16="Doublage Optima",A16="Plafond F530"),B16,0)))</f>
      </c>
      <c r="F16" s="4">
        <f>IF(OR(A16="Cloison",A16="Cloison Double Peau",A16="Doublage Optima",A16="Plafond F530"),B16,0)</f>
      </c>
      <c r="G16" s="4">
        <f>IF(OR(A16="Cloison",A16="Cloison Double Peau"),D16*2,0)</f>
      </c>
      <c r="H16" s="4">
        <f>IF(A16="Doublage Optima",D16*2,0)</f>
      </c>
      <c r="I16" s="4">
        <f>IF(OR(A16="Cloison",A16="Cloison Double Peau"),(ROUNDUP(D16/0.6,0)+1)*C16,0)</f>
      </c>
      <c r="J16" s="4">
        <f>IF(A16="Doublage Optima",(ROUNDUP(D16/0.6,0)+1)*C16,0)</f>
      </c>
      <c r="K16" s="4">
        <f>IF(A16="Plafond F530",B16*3,0)</f>
      </c>
      <c r="L16" s="4">
        <f>IF(A16="Doublage Optima",B16*1.5,0)</f>
      </c>
      <c r="M16" s="4">
        <f>IF(A16="Plafond F530",B16*1.8,0)</f>
      </c>
    </row>
    <row r="17" spans="1:13" x14ac:dyDescent="0.25">
      <c r="A17" s="5"/>
      <c r="B17" s="6"/>
      <c r="C17" s="6"/>
      <c r="D17" s="4">
        <f>IF(OR(A17="Cloison",A17="Cloison Double Peau",A17="Doublage Optima"),IF(AND(C17&lt;&gt;"",C17&gt;0),B17/C17,0),0)</f>
      </c>
      <c r="E17" s="4">
        <f>IF(A17="Cloison",B17*2,IF(A17="Cloison Double Peau",B17*4,IF(OR(A17="Doublage Optima",A17="Plafond F530"),B17,0)))</f>
      </c>
      <c r="F17" s="4">
        <f>IF(OR(A17="Cloison",A17="Cloison Double Peau",A17="Doublage Optima",A17="Plafond F530"),B17,0)</f>
      </c>
      <c r="G17" s="4">
        <f>IF(OR(A17="Cloison",A17="Cloison Double Peau"),D17*2,0)</f>
      </c>
      <c r="H17" s="4">
        <f>IF(A17="Doublage Optima",D17*2,0)</f>
      </c>
      <c r="I17" s="4">
        <f>IF(OR(A17="Cloison",A17="Cloison Double Peau"),(ROUNDUP(D17/0.6,0)+1)*C17,0)</f>
      </c>
      <c r="J17" s="4">
        <f>IF(A17="Doublage Optima",(ROUNDUP(D17/0.6,0)+1)*C17,0)</f>
      </c>
      <c r="K17" s="4">
        <f>IF(A17="Plafond F530",B17*3,0)</f>
      </c>
      <c r="L17" s="4">
        <f>IF(A17="Doublage Optima",B17*1.5,0)</f>
      </c>
      <c r="M17" s="4">
        <f>IF(A17="Plafond F530",B17*1.8,0)</f>
      </c>
    </row>
    <row r="18" spans="1:13" x14ac:dyDescent="0.25">
      <c r="A18" s="2"/>
      <c r="B18" s="3"/>
      <c r="C18" s="3"/>
      <c r="D18" s="4">
        <f>IF(OR(A18="Cloison",A18="Cloison Double Peau",A18="Doublage Optima"),IF(AND(C18&lt;&gt;"",C18&gt;0),B18/C18,0),0)</f>
      </c>
      <c r="E18" s="4">
        <f>IF(A18="Cloison",B18*2,IF(A18="Cloison Double Peau",B18*4,IF(OR(A18="Doublage Optima",A18="Plafond F530"),B18,0)))</f>
      </c>
      <c r="F18" s="4">
        <f>IF(OR(A18="Cloison",A18="Cloison Double Peau",A18="Doublage Optima",A18="Plafond F530"),B18,0)</f>
      </c>
      <c r="G18" s="4">
        <f>IF(OR(A18="Cloison",A18="Cloison Double Peau"),D18*2,0)</f>
      </c>
      <c r="H18" s="4">
        <f>IF(A18="Doublage Optima",D18*2,0)</f>
      </c>
      <c r="I18" s="4">
        <f>IF(OR(A18="Cloison",A18="Cloison Double Peau"),(ROUNDUP(D18/0.6,0)+1)*C18,0)</f>
      </c>
      <c r="J18" s="4">
        <f>IF(A18="Doublage Optima",(ROUNDUP(D18/0.6,0)+1)*C18,0)</f>
      </c>
      <c r="K18" s="4">
        <f>IF(A18="Plafond F530",B18*3,0)</f>
      </c>
      <c r="L18" s="4">
        <f>IF(A18="Doublage Optima",B18*1.5,0)</f>
      </c>
      <c r="M18" s="4">
        <f>IF(A18="Plafond F530",B18*1.8,0)</f>
      </c>
    </row>
    <row r="19" spans="1:13" x14ac:dyDescent="0.25">
      <c r="A19" s="5"/>
      <c r="B19" s="6"/>
      <c r="C19" s="6"/>
      <c r="D19" s="4">
        <f>IF(OR(A19="Cloison",A19="Cloison Double Peau",A19="Doublage Optima"),IF(AND(C19&lt;&gt;"",C19&gt;0),B19/C19,0),0)</f>
      </c>
      <c r="E19" s="4">
        <f>IF(A19="Cloison",B19*2,IF(A19="Cloison Double Peau",B19*4,IF(OR(A19="Doublage Optima",A19="Plafond F530"),B19,0)))</f>
      </c>
      <c r="F19" s="4">
        <f>IF(OR(A19="Cloison",A19="Cloison Double Peau",A19="Doublage Optima",A19="Plafond F530"),B19,0)</f>
      </c>
      <c r="G19" s="4">
        <f>IF(OR(A19="Cloison",A19="Cloison Double Peau"),D19*2,0)</f>
      </c>
      <c r="H19" s="4">
        <f>IF(A19="Doublage Optima",D19*2,0)</f>
      </c>
      <c r="I19" s="4">
        <f>IF(OR(A19="Cloison",A19="Cloison Double Peau"),(ROUNDUP(D19/0.6,0)+1)*C19,0)</f>
      </c>
      <c r="J19" s="4">
        <f>IF(A19="Doublage Optima",(ROUNDUP(D19/0.6,0)+1)*C19,0)</f>
      </c>
      <c r="K19" s="4">
        <f>IF(A19="Plafond F530",B19*3,0)</f>
      </c>
      <c r="L19" s="4">
        <f>IF(A19="Doublage Optima",B19*1.5,0)</f>
      </c>
      <c r="M19" s="4">
        <f>IF(A19="Plafond F530",B19*1.8,0)</f>
      </c>
    </row>
    <row r="20" spans="1:13" x14ac:dyDescent="0.25">
      <c r="A20" s="2"/>
      <c r="B20" s="3"/>
      <c r="C20" s="3"/>
      <c r="D20" s="4">
        <f>IF(OR(A20="Cloison",A20="Cloison Double Peau",A20="Doublage Optima"),IF(AND(C20&lt;&gt;"",C20&gt;0),B20/C20,0),0)</f>
      </c>
      <c r="E20" s="4">
        <f>IF(A20="Cloison",B20*2,IF(A20="Cloison Double Peau",B20*4,IF(OR(A20="Doublage Optima",A20="Plafond F530"),B20,0)))</f>
      </c>
      <c r="F20" s="4">
        <f>IF(OR(A20="Cloison",A20="Cloison Double Peau",A20="Doublage Optima",A20="Plafond F530"),B20,0)</f>
      </c>
      <c r="G20" s="4">
        <f>IF(OR(A20="Cloison",A20="Cloison Double Peau"),D20*2,0)</f>
      </c>
      <c r="H20" s="4">
        <f>IF(A20="Doublage Optima",D20*2,0)</f>
      </c>
      <c r="I20" s="4">
        <f>IF(OR(A20="Cloison",A20="Cloison Double Peau"),(ROUNDUP(D20/0.6,0)+1)*C20,0)</f>
      </c>
      <c r="J20" s="4">
        <f>IF(A20="Doublage Optima",(ROUNDUP(D20/0.6,0)+1)*C20,0)</f>
      </c>
      <c r="K20" s="4">
        <f>IF(A20="Plafond F530",B20*3,0)</f>
      </c>
      <c r="L20" s="4">
        <f>IF(A20="Doublage Optima",B20*1.5,0)</f>
      </c>
      <c r="M20" s="4">
        <f>IF(A20="Plafond F530",B20*1.8,0)</f>
      </c>
    </row>
    <row r="21" spans="1:13" x14ac:dyDescent="0.25">
      <c r="A21" s="5"/>
      <c r="B21" s="6"/>
      <c r="C21" s="6"/>
      <c r="D21" s="4">
        <f>IF(OR(A21="Cloison",A21="Cloison Double Peau",A21="Doublage Optima"),IF(AND(C21&lt;&gt;"",C21&gt;0),B21/C21,0),0)</f>
      </c>
      <c r="E21" s="4">
        <f>IF(A21="Cloison",B21*2,IF(A21="Cloison Double Peau",B21*4,IF(OR(A21="Doublage Optima",A21="Plafond F530"),B21,0)))</f>
      </c>
      <c r="F21" s="4">
        <f>IF(OR(A21="Cloison",A21="Cloison Double Peau",A21="Doublage Optima",A21="Plafond F530"),B21,0)</f>
      </c>
      <c r="G21" s="4">
        <f>IF(OR(A21="Cloison",A21="Cloison Double Peau"),D21*2,0)</f>
      </c>
      <c r="H21" s="4">
        <f>IF(A21="Doublage Optima",D21*2,0)</f>
      </c>
      <c r="I21" s="4">
        <f>IF(OR(A21="Cloison",A21="Cloison Double Peau"),(ROUNDUP(D21/0.6,0)+1)*C21,0)</f>
      </c>
      <c r="J21" s="4">
        <f>IF(A21="Doublage Optima",(ROUNDUP(D21/0.6,0)+1)*C21,0)</f>
      </c>
      <c r="K21" s="4">
        <f>IF(A21="Plafond F530",B21*3,0)</f>
      </c>
      <c r="L21" s="4">
        <f>IF(A21="Doublage Optima",B21*1.5,0)</f>
      </c>
      <c r="M21" s="4">
        <f>IF(A21="Plafond F530",B21*1.8,0)</f>
      </c>
    </row>
  </sheetData>
  <dataValidations count="1">
    <dataValidation type="list" allowBlank="1" showErrorMessage="1" errorStyle="error" errorTitle="Valeur invalide" error="Choisissez un type parmi la liste." sqref="A2:A21">
      <formula1>"Cloison,Cloison Double Peau,Doublage Optima,Plafond F530"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20" customWidth="1"/>
    <col min="3" max="3" width="12" customWidth="1"/>
  </cols>
  <sheetData>
    <row r="1" ht="40" customHeight="1" spans="1:3" x14ac:dyDescent="0.25">
      <c r="A1" s="7" t="s">
        <v>13</v>
      </c>
      <c r="B1" s="7"/>
      <c r="C1" s="7"/>
    </row>
    <row r="2" ht="22" customHeight="1" spans="1:3" x14ac:dyDescent="0.25">
      <c r="A2" s="8" t="s">
        <v>14</v>
      </c>
      <c r="B2" s="8"/>
      <c r="C2" s="8"/>
    </row>
    <row r="3" ht="8" customHeight="1" x14ac:dyDescent="0.25"/>
    <row r="4" ht="30" customHeight="1" spans="1:3" x14ac:dyDescent="0.25">
      <c r="A4" s="1" t="s">
        <v>15</v>
      </c>
      <c r="B4" s="1" t="s">
        <v>16</v>
      </c>
      <c r="C4" s="1" t="s">
        <v>17</v>
      </c>
    </row>
    <row r="5" ht="28" customHeight="1" spans="1:3" x14ac:dyDescent="0.25">
      <c r="A5" s="9" t="s">
        <v>18</v>
      </c>
      <c r="B5" s="10">
        <f>ROUND(SUM(Saisie!E2:E21)*1.05,2)</f>
      </c>
      <c r="C5" s="11" t="s">
        <v>19</v>
      </c>
    </row>
    <row r="6" ht="28" customHeight="1" spans="1:3" x14ac:dyDescent="0.25">
      <c r="A6" s="12" t="s">
        <v>5</v>
      </c>
      <c r="B6" s="10">
        <f>ROUND(SUM(Saisie!F2:F21)*1.05,2)</f>
      </c>
      <c r="C6" s="13" t="s">
        <v>19</v>
      </c>
    </row>
    <row r="7" ht="28" customHeight="1" spans="1:3" x14ac:dyDescent="0.25">
      <c r="A7" s="9" t="s">
        <v>20</v>
      </c>
      <c r="B7" s="10">
        <f>ROUND(SUM(Saisie!G2:G21)*1.05,2)</f>
      </c>
      <c r="C7" s="11" t="s">
        <v>21</v>
      </c>
    </row>
    <row r="8" ht="28" customHeight="1" spans="1:3" x14ac:dyDescent="0.25">
      <c r="A8" s="12" t="s">
        <v>22</v>
      </c>
      <c r="B8" s="10">
        <f>ROUND(SUM(Saisie!H2:H21)*1.05,2)</f>
      </c>
      <c r="C8" s="13" t="s">
        <v>21</v>
      </c>
    </row>
    <row r="9" ht="28" customHeight="1" spans="1:3" x14ac:dyDescent="0.25">
      <c r="A9" s="9" t="s">
        <v>23</v>
      </c>
      <c r="B9" s="10">
        <f>ROUND(SUM(Saisie!I2:I21)*1.05,2)</f>
      </c>
      <c r="C9" s="11" t="s">
        <v>21</v>
      </c>
    </row>
    <row r="10" ht="28" customHeight="1" spans="1:3" x14ac:dyDescent="0.25">
      <c r="A10" s="12" t="s">
        <v>24</v>
      </c>
      <c r="B10" s="10">
        <f>ROUND(SUM(Saisie!J2:J21)*1.05,2)</f>
      </c>
      <c r="C10" s="13" t="s">
        <v>21</v>
      </c>
    </row>
    <row r="11" ht="28" customHeight="1" spans="1:3" x14ac:dyDescent="0.25">
      <c r="A11" s="9" t="s">
        <v>25</v>
      </c>
      <c r="B11" s="10">
        <f>ROUND(SUM(Saisie!K2:K21)*1.05,2)</f>
      </c>
      <c r="C11" s="11" t="s">
        <v>21</v>
      </c>
    </row>
    <row r="12" ht="28" customHeight="1" spans="1:3" x14ac:dyDescent="0.25">
      <c r="A12" s="12" t="s">
        <v>26</v>
      </c>
      <c r="B12" s="10">
        <f>ROUND(SUM(Saisie!L2:L21)*1.05,2)</f>
      </c>
      <c r="C12" s="13" t="s">
        <v>27</v>
      </c>
    </row>
    <row r="13" ht="28" customHeight="1" spans="1:3" x14ac:dyDescent="0.25">
      <c r="A13" s="9" t="s">
        <v>12</v>
      </c>
      <c r="B13" s="10">
        <f>ROUND(SUM(Saisie!M2:M21)*1.05,2)</f>
      </c>
      <c r="C13" s="11" t="s">
        <v>27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Saisie</vt:lpstr>
      <vt:lpstr>Résultats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ABSE</dc:creator>
  <dc:title/>
  <dc:subject/>
  <dc:description/>
  <cp:keywords/>
  <cp:category/>
  <cp:lastModifiedBy>Unknown</cp:lastModifiedBy>
  <dcterms:created xsi:type="dcterms:W3CDTF">2026-03-10T17:33:52Z</dcterms:created>
  <dcterms:modified xsi:type="dcterms:W3CDTF">2026-03-10T17:33:52Z</dcterms:modified>
</cp:coreProperties>
</file>